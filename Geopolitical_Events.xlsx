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shaw\Downloads\"/>
    </mc:Choice>
  </mc:AlternateContent>
  <xr:revisionPtr revIDLastSave="0" documentId="8_{463D452A-9251-4304-BC4D-0F5DA6A3A50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Geopolitical Event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3" i="1" l="1"/>
  <c r="C82" i="1"/>
  <c r="C81" i="1"/>
  <c r="C80" i="1"/>
  <c r="C79" i="1"/>
  <c r="C78" i="1"/>
</calcChain>
</file>

<file path=xl/sharedStrings.xml><?xml version="1.0" encoding="utf-8"?>
<sst xmlns="http://schemas.openxmlformats.org/spreadsheetml/2006/main" count="166" uniqueCount="33">
  <si>
    <t>#</t>
  </si>
  <si>
    <t>Date</t>
  </si>
  <si>
    <t>Event Name</t>
  </si>
  <si>
    <t>Type</t>
  </si>
  <si>
    <t>Peak GPR</t>
  </si>
  <si>
    <t>GPR Act</t>
  </si>
  <si>
    <t>GPR Threat</t>
  </si>
  <si>
    <t>Act Ratio</t>
  </si>
  <si>
    <t>Gaza Flotilla Raid</t>
  </si>
  <si>
    <t>Mixed</t>
  </si>
  <si>
    <t>North Korea Artillery Attack (Yeonpyeong)</t>
  </si>
  <si>
    <t>Act</t>
  </si>
  <si>
    <t>Egyptian Revolution (Arab Spring)</t>
  </si>
  <si>
    <t>Libya Civil War / NATO Intervention</t>
  </si>
  <si>
    <t>Osama Bin Laden Death</t>
  </si>
  <si>
    <t>Arab Spring / Syria Uprising Escalation</t>
  </si>
  <si>
    <t>North Korea Kim Jong-il Death</t>
  </si>
  <si>
    <t>Aurora Colorado Mass Shooting / Syria Civil War</t>
  </si>
  <si>
    <t>North Korea Nuclear Test (3rd)</t>
  </si>
  <si>
    <t>Syria Chemical Weapons Attack (Ghouta)</t>
  </si>
  <si>
    <t>Geopolitical Event</t>
  </si>
  <si>
    <t>Threat</t>
  </si>
  <si>
    <t>Paris Terrorist Attacks</t>
  </si>
  <si>
    <t>Qatar Blockade (Gulf Crisis)</t>
  </si>
  <si>
    <t>Syria Douma Chemical Attack</t>
  </si>
  <si>
    <t>US-China Trade War / Kashmir Revocation</t>
  </si>
  <si>
    <t>Summary</t>
  </si>
  <si>
    <t>Total Events</t>
  </si>
  <si>
    <t>Act-Driven</t>
  </si>
  <si>
    <t>Threat-Driven</t>
  </si>
  <si>
    <t>Mean Peak GPR</t>
  </si>
  <si>
    <t>Max Peak GPR</t>
  </si>
  <si>
    <t>95th Pct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</si>
</sst>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.5"/>
      <name val="Arial"/>
      <charset val="1"/>
    </font>
    <font>
      <b/>
      <sz val="9.5"/>
      <color rgb="FFFFFFFF"/>
      <name val="Arial"/>
      <charset val="1"/>
    </font>
    <font>
      <b/>
      <sz val="9.5"/>
      <name val="Arial"/>
      <charset val="1"/>
    </font>
    <font>
      <b/>
      <sz val="9.5"/>
      <color rgb="FF1F2D3D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FFFFFF"/>
        <bgColor rgb="FFF7F7F7"/>
      </patternFill>
    </fill>
    <fill>
      <patternFill patternType="solid">
        <fgColor rgb="FF7B5EA7"/>
        <bgColor rgb="FF808080"/>
      </patternFill>
    </fill>
    <fill>
      <patternFill patternType="solid">
        <fgColor rgb="FFF7F7F7"/>
        <bgColor rgb="FFFFFFFF"/>
      </patternFill>
    </fill>
    <fill>
      <patternFill patternType="solid">
        <fgColor rgb="FFC0313A"/>
        <bgColor rgb="FF993366"/>
      </patternFill>
    </fill>
    <fill>
      <patternFill patternType="solid">
        <fgColor rgb="FF2E6DA4"/>
        <bgColor rgb="FF3366FF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2D3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" fillId="2" borderId="0" xfId="0" applyFont="1" applyFill="1"/>
    <xf numFmtId="0" fontId="4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313A"/>
      <rgbColor rgb="FFF7F7F7"/>
      <rgbColor rgb="FFCCFFFF"/>
      <rgbColor rgb="FF660066"/>
      <rgbColor rgb="FFFF8080"/>
      <rgbColor rgb="FF2E6DA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B5EA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zoomScaleNormal="100" workbookViewId="0">
      <pane ySplit="1" topLeftCell="A2" activePane="bottomLeft" state="frozen"/>
      <selection pane="bottomLeft" activeCell="K3" sqref="K3"/>
    </sheetView>
  </sheetViews>
  <sheetFormatPr defaultColWidth="8.7109375" defaultRowHeight="15" x14ac:dyDescent="0.25"/>
  <cols>
    <col min="1" max="1" width="4" customWidth="1"/>
    <col min="2" max="2" width="13" customWidth="1"/>
    <col min="3" max="3" width="42" customWidth="1"/>
    <col min="4" max="4" width="9" customWidth="1"/>
    <col min="5" max="6" width="11" customWidth="1"/>
    <col min="7" max="7" width="13" customWidth="1"/>
    <col min="8" max="8" width="11" customWidth="1"/>
  </cols>
  <sheetData>
    <row r="1" spans="1:8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 x14ac:dyDescent="0.25">
      <c r="A2" s="2">
        <v>1</v>
      </c>
      <c r="B2" s="3">
        <v>40331</v>
      </c>
      <c r="C2" s="4" t="s">
        <v>8</v>
      </c>
      <c r="D2" s="5" t="s">
        <v>9</v>
      </c>
      <c r="E2" s="2">
        <v>181.9</v>
      </c>
      <c r="F2" s="2">
        <v>76.7</v>
      </c>
      <c r="G2" s="2">
        <v>273.39999999999998</v>
      </c>
      <c r="H2" s="2">
        <v>0.42199999999999999</v>
      </c>
    </row>
    <row r="3" spans="1:8" ht="18" customHeight="1" x14ac:dyDescent="0.25">
      <c r="A3" s="6">
        <v>2</v>
      </c>
      <c r="B3" s="7">
        <v>40512</v>
      </c>
      <c r="C3" s="8" t="s">
        <v>10</v>
      </c>
      <c r="D3" s="9" t="s">
        <v>11</v>
      </c>
      <c r="E3" s="6">
        <v>183.4</v>
      </c>
      <c r="F3" s="6">
        <v>111.9</v>
      </c>
      <c r="G3" s="6">
        <v>224.1</v>
      </c>
      <c r="H3" s="6">
        <v>0.61</v>
      </c>
    </row>
    <row r="4" spans="1:8" ht="18" customHeight="1" x14ac:dyDescent="0.25">
      <c r="A4" s="2">
        <v>3</v>
      </c>
      <c r="B4" s="3">
        <v>40568</v>
      </c>
      <c r="C4" s="4" t="s">
        <v>12</v>
      </c>
      <c r="D4" s="9" t="s">
        <v>11</v>
      </c>
      <c r="E4" s="2">
        <v>204.2</v>
      </c>
      <c r="F4" s="2">
        <v>286.5</v>
      </c>
      <c r="G4" s="2">
        <v>119.5</v>
      </c>
      <c r="H4" s="2">
        <v>1.403</v>
      </c>
    </row>
    <row r="5" spans="1:8" ht="18" customHeight="1" x14ac:dyDescent="0.25">
      <c r="A5" s="6">
        <v>4</v>
      </c>
      <c r="B5" s="7">
        <v>40625</v>
      </c>
      <c r="C5" s="8" t="s">
        <v>13</v>
      </c>
      <c r="D5" s="9" t="s">
        <v>11</v>
      </c>
      <c r="E5" s="6">
        <v>231.3</v>
      </c>
      <c r="F5" s="6">
        <v>260.3</v>
      </c>
      <c r="G5" s="6">
        <v>192.3</v>
      </c>
      <c r="H5" s="6">
        <v>1.1259999999999999</v>
      </c>
    </row>
    <row r="6" spans="1:8" ht="18" customHeight="1" x14ac:dyDescent="0.25">
      <c r="A6" s="2">
        <v>5</v>
      </c>
      <c r="B6" s="3">
        <v>40666</v>
      </c>
      <c r="C6" s="4" t="s">
        <v>14</v>
      </c>
      <c r="D6" s="9" t="s">
        <v>11</v>
      </c>
      <c r="E6" s="2">
        <v>269.2</v>
      </c>
      <c r="F6" s="2">
        <v>357.8</v>
      </c>
      <c r="G6" s="2">
        <v>230.1</v>
      </c>
      <c r="H6" s="2">
        <v>1.329</v>
      </c>
    </row>
    <row r="7" spans="1:8" ht="18" customHeight="1" x14ac:dyDescent="0.25">
      <c r="A7" s="6">
        <v>6</v>
      </c>
      <c r="B7" s="7">
        <v>40778</v>
      </c>
      <c r="C7" s="8" t="s">
        <v>15</v>
      </c>
      <c r="D7" s="9" t="s">
        <v>11</v>
      </c>
      <c r="E7" s="6">
        <v>197.7</v>
      </c>
      <c r="F7" s="6">
        <v>257.39999999999998</v>
      </c>
      <c r="G7" s="6">
        <v>127.5</v>
      </c>
      <c r="H7" s="6">
        <v>1.302</v>
      </c>
    </row>
    <row r="8" spans="1:8" ht="18" customHeight="1" x14ac:dyDescent="0.25">
      <c r="A8" s="2">
        <v>7</v>
      </c>
      <c r="B8" s="3">
        <v>40897</v>
      </c>
      <c r="C8" s="4" t="s">
        <v>16</v>
      </c>
      <c r="D8" s="9" t="s">
        <v>11</v>
      </c>
      <c r="E8" s="2">
        <v>180.2</v>
      </c>
      <c r="F8" s="2">
        <v>111.8</v>
      </c>
      <c r="G8" s="2">
        <v>233.2</v>
      </c>
      <c r="H8" s="2">
        <v>0.62</v>
      </c>
    </row>
    <row r="9" spans="1:8" ht="18" customHeight="1" x14ac:dyDescent="0.25">
      <c r="A9" s="6">
        <v>8</v>
      </c>
      <c r="B9" s="7">
        <v>41110</v>
      </c>
      <c r="C9" s="8" t="s">
        <v>17</v>
      </c>
      <c r="D9" s="9" t="s">
        <v>11</v>
      </c>
      <c r="E9" s="6">
        <v>166.4</v>
      </c>
      <c r="F9" s="6">
        <v>147.4</v>
      </c>
      <c r="G9" s="6">
        <v>202.9</v>
      </c>
      <c r="H9" s="6">
        <v>0.88600000000000001</v>
      </c>
    </row>
    <row r="10" spans="1:8" ht="18" customHeight="1" x14ac:dyDescent="0.25">
      <c r="A10" s="2">
        <v>9</v>
      </c>
      <c r="B10" s="3">
        <v>41318</v>
      </c>
      <c r="C10" s="4" t="s">
        <v>18</v>
      </c>
      <c r="D10" s="5" t="s">
        <v>9</v>
      </c>
      <c r="E10" s="2">
        <v>176.9</v>
      </c>
      <c r="F10" s="2">
        <v>80.8</v>
      </c>
      <c r="G10" s="2">
        <v>232.9</v>
      </c>
      <c r="H10" s="2">
        <v>0.45700000000000002</v>
      </c>
    </row>
    <row r="11" spans="1:8" ht="18" customHeight="1" x14ac:dyDescent="0.25">
      <c r="A11" s="6">
        <v>10</v>
      </c>
      <c r="B11" s="7">
        <v>41515</v>
      </c>
      <c r="C11" s="8" t="s">
        <v>19</v>
      </c>
      <c r="D11" s="9" t="s">
        <v>11</v>
      </c>
      <c r="E11" s="6">
        <v>187.6</v>
      </c>
      <c r="F11" s="6">
        <v>179.9</v>
      </c>
      <c r="G11" s="6">
        <v>198</v>
      </c>
      <c r="H11" s="6">
        <v>0.95899999999999996</v>
      </c>
    </row>
    <row r="12" spans="1:8" ht="18" customHeight="1" x14ac:dyDescent="0.25">
      <c r="A12" s="2">
        <v>11</v>
      </c>
      <c r="B12" s="3">
        <v>41541</v>
      </c>
      <c r="C12" s="4" t="s">
        <v>20</v>
      </c>
      <c r="D12" s="9" t="s">
        <v>11</v>
      </c>
      <c r="E12" s="2">
        <v>174.1</v>
      </c>
      <c r="F12" s="2">
        <v>217</v>
      </c>
      <c r="G12" s="2">
        <v>130.30000000000001</v>
      </c>
      <c r="H12" s="2">
        <v>1.246</v>
      </c>
    </row>
    <row r="13" spans="1:8" ht="18" customHeight="1" x14ac:dyDescent="0.25">
      <c r="A13" s="6">
        <v>12</v>
      </c>
      <c r="B13" s="7">
        <v>41604</v>
      </c>
      <c r="C13" s="8" t="s">
        <v>20</v>
      </c>
      <c r="D13" s="5" t="s">
        <v>9</v>
      </c>
      <c r="E13" s="6">
        <v>186.7</v>
      </c>
      <c r="F13" s="6">
        <v>97.1</v>
      </c>
      <c r="G13" s="6">
        <v>243</v>
      </c>
      <c r="H13" s="6">
        <v>0.52</v>
      </c>
    </row>
    <row r="14" spans="1:8" ht="18" customHeight="1" x14ac:dyDescent="0.25">
      <c r="A14" s="2">
        <v>13</v>
      </c>
      <c r="B14" s="3">
        <v>41703</v>
      </c>
      <c r="C14" s="4" t="s">
        <v>20</v>
      </c>
      <c r="D14" s="10" t="s">
        <v>21</v>
      </c>
      <c r="E14" s="2">
        <v>213.8</v>
      </c>
      <c r="F14" s="2">
        <v>64.400000000000006</v>
      </c>
      <c r="G14" s="2">
        <v>322.10000000000002</v>
      </c>
      <c r="H14" s="2">
        <v>0.30099999999999999</v>
      </c>
    </row>
    <row r="15" spans="1:8" ht="18" customHeight="1" x14ac:dyDescent="0.25">
      <c r="A15" s="6">
        <v>14</v>
      </c>
      <c r="B15" s="7">
        <v>41716</v>
      </c>
      <c r="C15" s="8" t="s">
        <v>20</v>
      </c>
      <c r="D15" s="10" t="s">
        <v>21</v>
      </c>
      <c r="E15" s="6">
        <v>194.1</v>
      </c>
      <c r="F15" s="6">
        <v>35.200000000000003</v>
      </c>
      <c r="G15" s="6">
        <v>300.8</v>
      </c>
      <c r="H15" s="6">
        <v>0.18099999999999999</v>
      </c>
    </row>
    <row r="16" spans="1:8" ht="18" customHeight="1" x14ac:dyDescent="0.25">
      <c r="A16" s="2">
        <v>15</v>
      </c>
      <c r="B16" s="3">
        <v>41759</v>
      </c>
      <c r="C16" s="4" t="s">
        <v>20</v>
      </c>
      <c r="D16" s="5" t="s">
        <v>9</v>
      </c>
      <c r="E16" s="2">
        <v>182.1</v>
      </c>
      <c r="F16" s="2">
        <v>94.7</v>
      </c>
      <c r="G16" s="2">
        <v>230.4</v>
      </c>
      <c r="H16" s="2">
        <v>0.52</v>
      </c>
    </row>
    <row r="17" spans="1:8" ht="18" customHeight="1" x14ac:dyDescent="0.25">
      <c r="A17" s="6">
        <v>16</v>
      </c>
      <c r="B17" s="7">
        <v>41807</v>
      </c>
      <c r="C17" s="8" t="s">
        <v>20</v>
      </c>
      <c r="D17" s="9" t="s">
        <v>11</v>
      </c>
      <c r="E17" s="6">
        <v>207</v>
      </c>
      <c r="F17" s="6">
        <v>228.4</v>
      </c>
      <c r="G17" s="6">
        <v>205.1</v>
      </c>
      <c r="H17" s="6">
        <v>1.103</v>
      </c>
    </row>
    <row r="18" spans="1:8" ht="18" customHeight="1" x14ac:dyDescent="0.25">
      <c r="A18" s="2">
        <v>17</v>
      </c>
      <c r="B18" s="3">
        <v>41883</v>
      </c>
      <c r="C18" s="4" t="s">
        <v>20</v>
      </c>
      <c r="D18" s="9" t="s">
        <v>11</v>
      </c>
      <c r="E18" s="2">
        <v>227.8</v>
      </c>
      <c r="F18" s="2">
        <v>139.80000000000001</v>
      </c>
      <c r="G18" s="2">
        <v>310.89999999999998</v>
      </c>
      <c r="H18" s="2">
        <v>0.61299999999999999</v>
      </c>
    </row>
    <row r="19" spans="1:8" ht="18" customHeight="1" x14ac:dyDescent="0.25">
      <c r="A19" s="6">
        <v>18</v>
      </c>
      <c r="B19" s="7">
        <v>41894</v>
      </c>
      <c r="C19" s="8" t="s">
        <v>20</v>
      </c>
      <c r="D19" s="9" t="s">
        <v>11</v>
      </c>
      <c r="E19" s="6">
        <v>168.2</v>
      </c>
      <c r="F19" s="6">
        <v>171.6</v>
      </c>
      <c r="G19" s="6">
        <v>175.6</v>
      </c>
      <c r="H19" s="6">
        <v>1.02</v>
      </c>
    </row>
    <row r="20" spans="1:8" ht="18" customHeight="1" x14ac:dyDescent="0.25">
      <c r="A20" s="2">
        <v>19</v>
      </c>
      <c r="B20" s="3">
        <v>41905</v>
      </c>
      <c r="C20" s="4" t="s">
        <v>20</v>
      </c>
      <c r="D20" s="9" t="s">
        <v>11</v>
      </c>
      <c r="E20" s="2">
        <v>179.2</v>
      </c>
      <c r="F20" s="2">
        <v>183</v>
      </c>
      <c r="G20" s="2">
        <v>159.9</v>
      </c>
      <c r="H20" s="2">
        <v>1.0209999999999999</v>
      </c>
    </row>
    <row r="21" spans="1:8" ht="18" customHeight="1" x14ac:dyDescent="0.25">
      <c r="A21" s="6">
        <v>20</v>
      </c>
      <c r="B21" s="7">
        <v>42012</v>
      </c>
      <c r="C21" s="8" t="s">
        <v>20</v>
      </c>
      <c r="D21" s="9" t="s">
        <v>11</v>
      </c>
      <c r="E21" s="6">
        <v>168.6</v>
      </c>
      <c r="F21" s="6">
        <v>232.2</v>
      </c>
      <c r="G21" s="6">
        <v>133.6</v>
      </c>
      <c r="H21" s="6">
        <v>1.377</v>
      </c>
    </row>
    <row r="22" spans="1:8" ht="18" customHeight="1" x14ac:dyDescent="0.25">
      <c r="A22" s="2">
        <v>21</v>
      </c>
      <c r="B22" s="3">
        <v>42024</v>
      </c>
      <c r="C22" s="4" t="s">
        <v>20</v>
      </c>
      <c r="D22" s="9" t="s">
        <v>11</v>
      </c>
      <c r="E22" s="2">
        <v>175.3</v>
      </c>
      <c r="F22" s="2">
        <v>250.9</v>
      </c>
      <c r="G22" s="2">
        <v>119.6</v>
      </c>
      <c r="H22" s="2">
        <v>1.431</v>
      </c>
    </row>
    <row r="23" spans="1:8" ht="18" customHeight="1" x14ac:dyDescent="0.25">
      <c r="A23" s="6">
        <v>22</v>
      </c>
      <c r="B23" s="7">
        <v>42041</v>
      </c>
      <c r="C23" s="8" t="s">
        <v>20</v>
      </c>
      <c r="D23" s="9" t="s">
        <v>11</v>
      </c>
      <c r="E23" s="6">
        <v>166.4</v>
      </c>
      <c r="F23" s="6">
        <v>161.9</v>
      </c>
      <c r="G23" s="6">
        <v>168.8</v>
      </c>
      <c r="H23" s="6">
        <v>0.97299999999999998</v>
      </c>
    </row>
    <row r="24" spans="1:8" ht="18" customHeight="1" x14ac:dyDescent="0.25">
      <c r="A24" s="2">
        <v>23</v>
      </c>
      <c r="B24" s="3">
        <v>42058</v>
      </c>
      <c r="C24" s="4" t="s">
        <v>20</v>
      </c>
      <c r="D24" s="9" t="s">
        <v>11</v>
      </c>
      <c r="E24" s="2">
        <v>168.2</v>
      </c>
      <c r="F24" s="2">
        <v>162.6</v>
      </c>
      <c r="G24" s="2">
        <v>161</v>
      </c>
      <c r="H24" s="2">
        <v>0.96699999999999997</v>
      </c>
    </row>
    <row r="25" spans="1:8" ht="18" customHeight="1" x14ac:dyDescent="0.25">
      <c r="A25" s="6">
        <v>24</v>
      </c>
      <c r="B25" s="7">
        <v>42067</v>
      </c>
      <c r="C25" s="8" t="s">
        <v>20</v>
      </c>
      <c r="D25" s="5" t="s">
        <v>9</v>
      </c>
      <c r="E25" s="6">
        <v>218.3</v>
      </c>
      <c r="F25" s="6">
        <v>125.6</v>
      </c>
      <c r="G25" s="6">
        <v>279.3</v>
      </c>
      <c r="H25" s="6">
        <v>0.57499999999999996</v>
      </c>
    </row>
    <row r="26" spans="1:8" ht="18" customHeight="1" x14ac:dyDescent="0.25">
      <c r="A26" s="2">
        <v>25</v>
      </c>
      <c r="B26" s="3">
        <v>42090</v>
      </c>
      <c r="C26" s="4" t="s">
        <v>20</v>
      </c>
      <c r="D26" s="9" t="s">
        <v>11</v>
      </c>
      <c r="E26" s="2">
        <v>199.3</v>
      </c>
      <c r="F26" s="2">
        <v>215.2</v>
      </c>
      <c r="G26" s="2">
        <v>214</v>
      </c>
      <c r="H26" s="2">
        <v>1.08</v>
      </c>
    </row>
    <row r="27" spans="1:8" ht="18" customHeight="1" x14ac:dyDescent="0.25">
      <c r="A27" s="6">
        <v>26</v>
      </c>
      <c r="B27" s="7">
        <v>42102</v>
      </c>
      <c r="C27" s="8" t="s">
        <v>20</v>
      </c>
      <c r="D27" s="9" t="s">
        <v>11</v>
      </c>
      <c r="E27" s="6">
        <v>166.8</v>
      </c>
      <c r="F27" s="6">
        <v>143.80000000000001</v>
      </c>
      <c r="G27" s="6">
        <v>209.9</v>
      </c>
      <c r="H27" s="6">
        <v>0.86199999999999999</v>
      </c>
    </row>
    <row r="28" spans="1:8" ht="18" customHeight="1" x14ac:dyDescent="0.25">
      <c r="A28" s="2">
        <v>27</v>
      </c>
      <c r="B28" s="3">
        <v>42185</v>
      </c>
      <c r="C28" s="4" t="s">
        <v>20</v>
      </c>
      <c r="D28" s="9" t="s">
        <v>11</v>
      </c>
      <c r="E28" s="2">
        <v>169.3</v>
      </c>
      <c r="F28" s="2">
        <v>173.1</v>
      </c>
      <c r="G28" s="2">
        <v>187.7</v>
      </c>
      <c r="H28" s="2">
        <v>1.022</v>
      </c>
    </row>
    <row r="29" spans="1:8" ht="18" customHeight="1" x14ac:dyDescent="0.25">
      <c r="A29" s="6">
        <v>28</v>
      </c>
      <c r="B29" s="7">
        <v>42200</v>
      </c>
      <c r="C29" s="8" t="s">
        <v>20</v>
      </c>
      <c r="D29" s="10" t="s">
        <v>21</v>
      </c>
      <c r="E29" s="6">
        <v>230</v>
      </c>
      <c r="F29" s="6">
        <v>35.299999999999997</v>
      </c>
      <c r="G29" s="6">
        <v>367.8</v>
      </c>
      <c r="H29" s="6">
        <v>0.153</v>
      </c>
    </row>
    <row r="30" spans="1:8" ht="18" customHeight="1" x14ac:dyDescent="0.25">
      <c r="A30" s="2">
        <v>29</v>
      </c>
      <c r="B30" s="3">
        <v>42269</v>
      </c>
      <c r="C30" s="4" t="s">
        <v>20</v>
      </c>
      <c r="D30" s="9" t="s">
        <v>11</v>
      </c>
      <c r="E30" s="2">
        <v>188.8</v>
      </c>
      <c r="F30" s="2">
        <v>131.69999999999999</v>
      </c>
      <c r="G30" s="2">
        <v>219.7</v>
      </c>
      <c r="H30" s="2">
        <v>0.69799999999999995</v>
      </c>
    </row>
    <row r="31" spans="1:8" ht="18" customHeight="1" x14ac:dyDescent="0.25">
      <c r="A31" s="6">
        <v>30</v>
      </c>
      <c r="B31" s="7">
        <v>42279</v>
      </c>
      <c r="C31" s="8" t="s">
        <v>20</v>
      </c>
      <c r="D31" s="9" t="s">
        <v>11</v>
      </c>
      <c r="E31" s="6">
        <v>180.4</v>
      </c>
      <c r="F31" s="6">
        <v>205.5</v>
      </c>
      <c r="G31" s="6">
        <v>165.3</v>
      </c>
      <c r="H31" s="6">
        <v>1.139</v>
      </c>
    </row>
    <row r="32" spans="1:8" ht="18" customHeight="1" x14ac:dyDescent="0.25">
      <c r="A32" s="2">
        <v>31</v>
      </c>
      <c r="B32" s="3">
        <v>42325</v>
      </c>
      <c r="C32" s="4" t="s">
        <v>22</v>
      </c>
      <c r="D32" s="9" t="s">
        <v>11</v>
      </c>
      <c r="E32" s="2">
        <v>354.1</v>
      </c>
      <c r="F32" s="2">
        <v>551.20000000000005</v>
      </c>
      <c r="G32" s="2">
        <v>266.2</v>
      </c>
      <c r="H32" s="2">
        <v>1.5569999999999999</v>
      </c>
    </row>
    <row r="33" spans="1:8" ht="18" customHeight="1" x14ac:dyDescent="0.25">
      <c r="A33" s="6">
        <v>32</v>
      </c>
      <c r="B33" s="7">
        <v>42370</v>
      </c>
      <c r="C33" s="8" t="s">
        <v>20</v>
      </c>
      <c r="D33" s="9" t="s">
        <v>11</v>
      </c>
      <c r="E33" s="6">
        <v>208.8</v>
      </c>
      <c r="F33" s="6">
        <v>315.89999999999998</v>
      </c>
      <c r="G33" s="6">
        <v>155.69999999999999</v>
      </c>
      <c r="H33" s="6">
        <v>1.5129999999999999</v>
      </c>
    </row>
    <row r="34" spans="1:8" ht="18" customHeight="1" x14ac:dyDescent="0.25">
      <c r="A34" s="2">
        <v>33</v>
      </c>
      <c r="B34" s="3">
        <v>42389</v>
      </c>
      <c r="C34" s="4" t="s">
        <v>20</v>
      </c>
      <c r="D34" s="9" t="s">
        <v>11</v>
      </c>
      <c r="E34" s="2">
        <v>194.3</v>
      </c>
      <c r="F34" s="2">
        <v>229</v>
      </c>
      <c r="G34" s="2">
        <v>198.3</v>
      </c>
      <c r="H34" s="2">
        <v>1.1779999999999999</v>
      </c>
    </row>
    <row r="35" spans="1:8" ht="18" customHeight="1" x14ac:dyDescent="0.25">
      <c r="A35" s="6">
        <v>34</v>
      </c>
      <c r="B35" s="7">
        <v>42452</v>
      </c>
      <c r="C35" s="8" t="s">
        <v>20</v>
      </c>
      <c r="D35" s="9" t="s">
        <v>11</v>
      </c>
      <c r="E35" s="6">
        <v>245.4</v>
      </c>
      <c r="F35" s="6">
        <v>366.9</v>
      </c>
      <c r="G35" s="6">
        <v>188.3</v>
      </c>
      <c r="H35" s="6">
        <v>1.4950000000000001</v>
      </c>
    </row>
    <row r="36" spans="1:8" ht="18" customHeight="1" x14ac:dyDescent="0.25">
      <c r="A36" s="2">
        <v>35</v>
      </c>
      <c r="B36" s="3">
        <v>42567</v>
      </c>
      <c r="C36" s="4" t="s">
        <v>20</v>
      </c>
      <c r="D36" s="9" t="s">
        <v>11</v>
      </c>
      <c r="E36" s="2">
        <v>237.5</v>
      </c>
      <c r="F36" s="2">
        <v>396.1</v>
      </c>
      <c r="G36" s="2">
        <v>179.6</v>
      </c>
      <c r="H36" s="2">
        <v>1.6679999999999999</v>
      </c>
    </row>
    <row r="37" spans="1:8" ht="18" customHeight="1" x14ac:dyDescent="0.25">
      <c r="A37" s="6">
        <v>36</v>
      </c>
      <c r="B37" s="7">
        <v>42607</v>
      </c>
      <c r="C37" s="8" t="s">
        <v>20</v>
      </c>
      <c r="D37" s="9" t="s">
        <v>11</v>
      </c>
      <c r="E37" s="6">
        <v>177</v>
      </c>
      <c r="F37" s="6">
        <v>264.60000000000002</v>
      </c>
      <c r="G37" s="6">
        <v>110.4</v>
      </c>
      <c r="H37" s="6">
        <v>1.4950000000000001</v>
      </c>
    </row>
    <row r="38" spans="1:8" ht="18" customHeight="1" x14ac:dyDescent="0.25">
      <c r="A38" s="2">
        <v>37</v>
      </c>
      <c r="B38" s="3">
        <v>42632</v>
      </c>
      <c r="C38" s="4" t="s">
        <v>20</v>
      </c>
      <c r="D38" s="9" t="s">
        <v>11</v>
      </c>
      <c r="E38" s="2">
        <v>255.7</v>
      </c>
      <c r="F38" s="2">
        <v>391.3</v>
      </c>
      <c r="G38" s="2">
        <v>148.4</v>
      </c>
      <c r="H38" s="2">
        <v>1.53</v>
      </c>
    </row>
    <row r="39" spans="1:8" ht="18" customHeight="1" x14ac:dyDescent="0.25">
      <c r="A39" s="6">
        <v>38</v>
      </c>
      <c r="B39" s="7">
        <v>42734</v>
      </c>
      <c r="C39" s="8" t="s">
        <v>20</v>
      </c>
      <c r="D39" s="9" t="s">
        <v>11</v>
      </c>
      <c r="E39" s="6">
        <v>206.7</v>
      </c>
      <c r="F39" s="6">
        <v>247.2</v>
      </c>
      <c r="G39" s="6">
        <v>196.4</v>
      </c>
      <c r="H39" s="6">
        <v>1.196</v>
      </c>
    </row>
    <row r="40" spans="1:8" ht="18" customHeight="1" x14ac:dyDescent="0.25">
      <c r="A40" s="2">
        <v>39</v>
      </c>
      <c r="B40" s="3">
        <v>42776</v>
      </c>
      <c r="C40" s="4" t="s">
        <v>20</v>
      </c>
      <c r="D40" s="9" t="s">
        <v>11</v>
      </c>
      <c r="E40" s="2">
        <v>212.4</v>
      </c>
      <c r="F40" s="2">
        <v>221.8</v>
      </c>
      <c r="G40" s="2">
        <v>185</v>
      </c>
      <c r="H40" s="2">
        <v>1.044</v>
      </c>
    </row>
    <row r="41" spans="1:8" ht="18" customHeight="1" x14ac:dyDescent="0.25">
      <c r="A41" s="6">
        <v>40</v>
      </c>
      <c r="B41" s="7">
        <v>42818</v>
      </c>
      <c r="C41" s="8" t="s">
        <v>20</v>
      </c>
      <c r="D41" s="9" t="s">
        <v>11</v>
      </c>
      <c r="E41" s="6">
        <v>177.4</v>
      </c>
      <c r="F41" s="6">
        <v>258.10000000000002</v>
      </c>
      <c r="G41" s="6">
        <v>79.7</v>
      </c>
      <c r="H41" s="6">
        <v>1.4550000000000001</v>
      </c>
    </row>
    <row r="42" spans="1:8" ht="18" customHeight="1" x14ac:dyDescent="0.25">
      <c r="A42" s="2">
        <v>41</v>
      </c>
      <c r="B42" s="3">
        <v>42833</v>
      </c>
      <c r="C42" s="4" t="s">
        <v>20</v>
      </c>
      <c r="D42" s="9" t="s">
        <v>11</v>
      </c>
      <c r="E42" s="2">
        <v>176.6</v>
      </c>
      <c r="F42" s="2">
        <v>219.1</v>
      </c>
      <c r="G42" s="2">
        <v>137.1</v>
      </c>
      <c r="H42" s="2">
        <v>1.2410000000000001</v>
      </c>
    </row>
    <row r="43" spans="1:8" ht="18" customHeight="1" x14ac:dyDescent="0.25">
      <c r="A43" s="6">
        <v>42</v>
      </c>
      <c r="B43" s="7">
        <v>42845</v>
      </c>
      <c r="C43" s="8" t="s">
        <v>20</v>
      </c>
      <c r="D43" s="5" t="s">
        <v>9</v>
      </c>
      <c r="E43" s="6">
        <v>178.8</v>
      </c>
      <c r="F43" s="6">
        <v>73.400000000000006</v>
      </c>
      <c r="G43" s="6">
        <v>279.8</v>
      </c>
      <c r="H43" s="6">
        <v>0.41</v>
      </c>
    </row>
    <row r="44" spans="1:8" ht="18" customHeight="1" x14ac:dyDescent="0.25">
      <c r="A44" s="2">
        <v>43</v>
      </c>
      <c r="B44" s="3">
        <v>42881</v>
      </c>
      <c r="C44" s="4" t="s">
        <v>20</v>
      </c>
      <c r="D44" s="9" t="s">
        <v>11</v>
      </c>
      <c r="E44" s="2">
        <v>218.1</v>
      </c>
      <c r="F44" s="2">
        <v>289.89999999999998</v>
      </c>
      <c r="G44" s="2">
        <v>172.7</v>
      </c>
      <c r="H44" s="2">
        <v>1.329</v>
      </c>
    </row>
    <row r="45" spans="1:8" ht="18" customHeight="1" x14ac:dyDescent="0.25">
      <c r="A45" s="6">
        <v>44</v>
      </c>
      <c r="B45" s="7">
        <v>42891</v>
      </c>
      <c r="C45" s="8" t="s">
        <v>23</v>
      </c>
      <c r="D45" s="9" t="s">
        <v>11</v>
      </c>
      <c r="E45" s="6">
        <v>276.60000000000002</v>
      </c>
      <c r="F45" s="6">
        <v>430.5</v>
      </c>
      <c r="G45" s="6">
        <v>123.4</v>
      </c>
      <c r="H45" s="6">
        <v>1.556</v>
      </c>
    </row>
    <row r="46" spans="1:8" ht="18" customHeight="1" x14ac:dyDescent="0.25">
      <c r="A46" s="2">
        <v>45</v>
      </c>
      <c r="B46" s="3">
        <v>42908</v>
      </c>
      <c r="C46" s="4" t="s">
        <v>20</v>
      </c>
      <c r="D46" s="9" t="s">
        <v>11</v>
      </c>
      <c r="E46" s="2">
        <v>210.3</v>
      </c>
      <c r="F46" s="2">
        <v>219.2</v>
      </c>
      <c r="G46" s="2">
        <v>206.7</v>
      </c>
      <c r="H46" s="2">
        <v>1.042</v>
      </c>
    </row>
    <row r="47" spans="1:8" ht="18" customHeight="1" x14ac:dyDescent="0.25">
      <c r="A47" s="6">
        <v>46</v>
      </c>
      <c r="B47" s="7">
        <v>42921</v>
      </c>
      <c r="C47" s="8" t="s">
        <v>20</v>
      </c>
      <c r="D47" s="5" t="s">
        <v>9</v>
      </c>
      <c r="E47" s="6">
        <v>208.9</v>
      </c>
      <c r="F47" s="6">
        <v>95.2</v>
      </c>
      <c r="G47" s="6">
        <v>287.89999999999998</v>
      </c>
      <c r="H47" s="6">
        <v>0.45600000000000002</v>
      </c>
    </row>
    <row r="48" spans="1:8" ht="18" customHeight="1" x14ac:dyDescent="0.25">
      <c r="A48" s="2">
        <v>47</v>
      </c>
      <c r="B48" s="3">
        <v>42969</v>
      </c>
      <c r="C48" s="4" t="s">
        <v>20</v>
      </c>
      <c r="D48" s="9" t="s">
        <v>11</v>
      </c>
      <c r="E48" s="2">
        <v>250</v>
      </c>
      <c r="F48" s="2">
        <v>311.5</v>
      </c>
      <c r="G48" s="2">
        <v>228.7</v>
      </c>
      <c r="H48" s="2">
        <v>1.246</v>
      </c>
    </row>
    <row r="49" spans="1:8" ht="18" customHeight="1" x14ac:dyDescent="0.25">
      <c r="A49" s="6">
        <v>48</v>
      </c>
      <c r="B49" s="7">
        <v>42982</v>
      </c>
      <c r="C49" s="8" t="s">
        <v>20</v>
      </c>
      <c r="D49" s="5" t="s">
        <v>9</v>
      </c>
      <c r="E49" s="6">
        <v>253.1</v>
      </c>
      <c r="F49" s="6">
        <v>118.7</v>
      </c>
      <c r="G49" s="6">
        <v>334.3</v>
      </c>
      <c r="H49" s="6">
        <v>0.46899999999999997</v>
      </c>
    </row>
    <row r="50" spans="1:8" ht="18" customHeight="1" x14ac:dyDescent="0.25">
      <c r="A50" s="2">
        <v>49</v>
      </c>
      <c r="B50" s="3">
        <v>42996</v>
      </c>
      <c r="C50" s="4" t="s">
        <v>20</v>
      </c>
      <c r="D50" s="9" t="s">
        <v>11</v>
      </c>
      <c r="E50" s="2">
        <v>172.8</v>
      </c>
      <c r="F50" s="2">
        <v>118.8</v>
      </c>
      <c r="G50" s="2">
        <v>218</v>
      </c>
      <c r="H50" s="2">
        <v>0.68799999999999994</v>
      </c>
    </row>
    <row r="51" spans="1:8" ht="18" customHeight="1" x14ac:dyDescent="0.25">
      <c r="A51" s="6">
        <v>50</v>
      </c>
      <c r="B51" s="7">
        <v>43041</v>
      </c>
      <c r="C51" s="8" t="s">
        <v>20</v>
      </c>
      <c r="D51" s="9" t="s">
        <v>11</v>
      </c>
      <c r="E51" s="6">
        <v>188.3</v>
      </c>
      <c r="F51" s="6">
        <v>307.2</v>
      </c>
      <c r="G51" s="6">
        <v>85.4</v>
      </c>
      <c r="H51" s="6">
        <v>1.631</v>
      </c>
    </row>
    <row r="52" spans="1:8" ht="18" customHeight="1" x14ac:dyDescent="0.25">
      <c r="A52" s="2">
        <v>51</v>
      </c>
      <c r="B52" s="3">
        <v>43102</v>
      </c>
      <c r="C52" s="4" t="s">
        <v>20</v>
      </c>
      <c r="D52" s="5" t="s">
        <v>9</v>
      </c>
      <c r="E52" s="2">
        <v>188.7</v>
      </c>
      <c r="F52" s="2">
        <v>94.1</v>
      </c>
      <c r="G52" s="2">
        <v>278.89999999999998</v>
      </c>
      <c r="H52" s="2">
        <v>0.498</v>
      </c>
    </row>
    <row r="53" spans="1:8" ht="18" customHeight="1" x14ac:dyDescent="0.25">
      <c r="A53" s="6">
        <v>52</v>
      </c>
      <c r="B53" s="7">
        <v>43112</v>
      </c>
      <c r="C53" s="8" t="s">
        <v>20</v>
      </c>
      <c r="D53" s="9" t="s">
        <v>11</v>
      </c>
      <c r="E53" s="6">
        <v>167.5</v>
      </c>
      <c r="F53" s="6">
        <v>116.9</v>
      </c>
      <c r="G53" s="6">
        <v>222.9</v>
      </c>
      <c r="H53" s="6">
        <v>0.69799999999999995</v>
      </c>
    </row>
    <row r="54" spans="1:8" ht="18" customHeight="1" x14ac:dyDescent="0.25">
      <c r="A54" s="2">
        <v>53</v>
      </c>
      <c r="B54" s="3">
        <v>43174</v>
      </c>
      <c r="C54" s="4" t="s">
        <v>20</v>
      </c>
      <c r="D54" s="10" t="s">
        <v>21</v>
      </c>
      <c r="E54" s="2">
        <v>189.4</v>
      </c>
      <c r="F54" s="2">
        <v>75.5</v>
      </c>
      <c r="G54" s="2">
        <v>287</v>
      </c>
      <c r="H54" s="2">
        <v>0.39900000000000002</v>
      </c>
    </row>
    <row r="55" spans="1:8" ht="18" customHeight="1" x14ac:dyDescent="0.25">
      <c r="A55" s="6">
        <v>54</v>
      </c>
      <c r="B55" s="7">
        <v>43188</v>
      </c>
      <c r="C55" s="8" t="s">
        <v>20</v>
      </c>
      <c r="D55" s="5" t="s">
        <v>9</v>
      </c>
      <c r="E55" s="6">
        <v>176.9</v>
      </c>
      <c r="F55" s="6">
        <v>105.8</v>
      </c>
      <c r="G55" s="6">
        <v>213.3</v>
      </c>
      <c r="H55" s="6">
        <v>0.59799999999999998</v>
      </c>
    </row>
    <row r="56" spans="1:8" ht="18" customHeight="1" x14ac:dyDescent="0.25">
      <c r="A56" s="2">
        <v>55</v>
      </c>
      <c r="B56" s="3">
        <v>43202</v>
      </c>
      <c r="C56" s="4" t="s">
        <v>24</v>
      </c>
      <c r="D56" s="9" t="s">
        <v>11</v>
      </c>
      <c r="E56" s="2">
        <v>296.5</v>
      </c>
      <c r="F56" s="2">
        <v>320.89999999999998</v>
      </c>
      <c r="G56" s="2">
        <v>302.89999999999998</v>
      </c>
      <c r="H56" s="2">
        <v>1.0820000000000001</v>
      </c>
    </row>
    <row r="57" spans="1:8" ht="18" customHeight="1" x14ac:dyDescent="0.25">
      <c r="A57" s="6">
        <v>56</v>
      </c>
      <c r="B57" s="7">
        <v>43243</v>
      </c>
      <c r="C57" s="8" t="s">
        <v>20</v>
      </c>
      <c r="D57" s="5" t="s">
        <v>9</v>
      </c>
      <c r="E57" s="6">
        <v>179.2</v>
      </c>
      <c r="F57" s="6">
        <v>99.7</v>
      </c>
      <c r="G57" s="6">
        <v>214.8</v>
      </c>
      <c r="H57" s="6">
        <v>0.55600000000000005</v>
      </c>
    </row>
    <row r="58" spans="1:8" ht="18" customHeight="1" x14ac:dyDescent="0.25">
      <c r="A58" s="2">
        <v>57</v>
      </c>
      <c r="B58" s="3">
        <v>43252</v>
      </c>
      <c r="C58" s="4" t="s">
        <v>20</v>
      </c>
      <c r="D58" s="10" t="s">
        <v>21</v>
      </c>
      <c r="E58" s="2">
        <v>186.2</v>
      </c>
      <c r="F58" s="2">
        <v>63.2</v>
      </c>
      <c r="G58" s="2">
        <v>263.60000000000002</v>
      </c>
      <c r="H58" s="2">
        <v>0.33900000000000002</v>
      </c>
    </row>
    <row r="59" spans="1:8" ht="18" customHeight="1" x14ac:dyDescent="0.25">
      <c r="A59" s="6">
        <v>58</v>
      </c>
      <c r="B59" s="7">
        <v>43265</v>
      </c>
      <c r="C59" s="8" t="s">
        <v>20</v>
      </c>
      <c r="D59" s="9" t="s">
        <v>11</v>
      </c>
      <c r="E59" s="6">
        <v>188.5</v>
      </c>
      <c r="F59" s="6">
        <v>135.9</v>
      </c>
      <c r="G59" s="6">
        <v>220.1</v>
      </c>
      <c r="H59" s="6">
        <v>0.72099999999999997</v>
      </c>
    </row>
    <row r="60" spans="1:8" ht="18" customHeight="1" x14ac:dyDescent="0.25">
      <c r="A60" s="2">
        <v>59</v>
      </c>
      <c r="B60" s="3">
        <v>43293</v>
      </c>
      <c r="C60" s="4" t="s">
        <v>20</v>
      </c>
      <c r="D60" s="5" t="s">
        <v>9</v>
      </c>
      <c r="E60" s="2">
        <v>172.9</v>
      </c>
      <c r="F60" s="2">
        <v>88.2</v>
      </c>
      <c r="G60" s="2">
        <v>247.4</v>
      </c>
      <c r="H60" s="2">
        <v>0.51</v>
      </c>
    </row>
    <row r="61" spans="1:8" ht="18" customHeight="1" x14ac:dyDescent="0.25">
      <c r="A61" s="6">
        <v>60</v>
      </c>
      <c r="B61" s="7">
        <v>43319</v>
      </c>
      <c r="C61" s="8" t="s">
        <v>20</v>
      </c>
      <c r="D61" s="5" t="s">
        <v>9</v>
      </c>
      <c r="E61" s="6">
        <v>200.5</v>
      </c>
      <c r="F61" s="6">
        <v>89.9</v>
      </c>
      <c r="G61" s="6">
        <v>258.39999999999998</v>
      </c>
      <c r="H61" s="6">
        <v>0.44900000000000001</v>
      </c>
    </row>
    <row r="62" spans="1:8" ht="18" customHeight="1" x14ac:dyDescent="0.25">
      <c r="A62" s="2">
        <v>61</v>
      </c>
      <c r="B62" s="3">
        <v>43441</v>
      </c>
      <c r="C62" s="4" t="s">
        <v>20</v>
      </c>
      <c r="D62" s="9" t="s">
        <v>11</v>
      </c>
      <c r="E62" s="2">
        <v>196.1</v>
      </c>
      <c r="F62" s="2">
        <v>124.8</v>
      </c>
      <c r="G62" s="2">
        <v>235.9</v>
      </c>
      <c r="H62" s="2">
        <v>0.63600000000000001</v>
      </c>
    </row>
    <row r="63" spans="1:8" ht="18" customHeight="1" x14ac:dyDescent="0.25">
      <c r="A63" s="6">
        <v>62</v>
      </c>
      <c r="B63" s="7">
        <v>43455</v>
      </c>
      <c r="C63" s="8" t="s">
        <v>20</v>
      </c>
      <c r="D63" s="9" t="s">
        <v>11</v>
      </c>
      <c r="E63" s="6">
        <v>210.3</v>
      </c>
      <c r="F63" s="6">
        <v>157.30000000000001</v>
      </c>
      <c r="G63" s="6">
        <v>247.8</v>
      </c>
      <c r="H63" s="6">
        <v>0.748</v>
      </c>
    </row>
    <row r="64" spans="1:8" ht="18" customHeight="1" x14ac:dyDescent="0.25">
      <c r="A64" s="2">
        <v>63</v>
      </c>
      <c r="B64" s="3">
        <v>43467</v>
      </c>
      <c r="C64" s="4" t="s">
        <v>20</v>
      </c>
      <c r="D64" s="5" t="s">
        <v>9</v>
      </c>
      <c r="E64" s="2">
        <v>189.9</v>
      </c>
      <c r="F64" s="2">
        <v>99.6</v>
      </c>
      <c r="G64" s="2">
        <v>249.3</v>
      </c>
      <c r="H64" s="2">
        <v>0.52500000000000002</v>
      </c>
    </row>
    <row r="65" spans="1:8" ht="18" customHeight="1" x14ac:dyDescent="0.25">
      <c r="A65" s="6">
        <v>64</v>
      </c>
      <c r="B65" s="7">
        <v>43500</v>
      </c>
      <c r="C65" s="8" t="s">
        <v>20</v>
      </c>
      <c r="D65" s="10" t="s">
        <v>21</v>
      </c>
      <c r="E65" s="6">
        <v>180</v>
      </c>
      <c r="F65" s="6">
        <v>29.1</v>
      </c>
      <c r="G65" s="6">
        <v>291.2</v>
      </c>
      <c r="H65" s="6">
        <v>0.16200000000000001</v>
      </c>
    </row>
    <row r="66" spans="1:8" ht="18" customHeight="1" x14ac:dyDescent="0.25">
      <c r="A66" s="2">
        <v>65</v>
      </c>
      <c r="B66" s="3">
        <v>43516</v>
      </c>
      <c r="C66" s="4" t="s">
        <v>20</v>
      </c>
      <c r="D66" s="9" t="s">
        <v>11</v>
      </c>
      <c r="E66" s="2">
        <v>171.3</v>
      </c>
      <c r="F66" s="2">
        <v>124.2</v>
      </c>
      <c r="G66" s="2">
        <v>198.6</v>
      </c>
      <c r="H66" s="2">
        <v>0.72499999999999998</v>
      </c>
    </row>
    <row r="67" spans="1:8" ht="18" customHeight="1" x14ac:dyDescent="0.25">
      <c r="A67" s="6">
        <v>66</v>
      </c>
      <c r="B67" s="7">
        <v>43525</v>
      </c>
      <c r="C67" s="8" t="s">
        <v>20</v>
      </c>
      <c r="D67" s="10" t="s">
        <v>21</v>
      </c>
      <c r="E67" s="6">
        <v>184.5</v>
      </c>
      <c r="F67" s="6">
        <v>66.900000000000006</v>
      </c>
      <c r="G67" s="6">
        <v>278.89999999999998</v>
      </c>
      <c r="H67" s="6">
        <v>0.36299999999999999</v>
      </c>
    </row>
    <row r="68" spans="1:8" ht="18" customHeight="1" x14ac:dyDescent="0.25">
      <c r="A68" s="2">
        <v>67</v>
      </c>
      <c r="B68" s="3">
        <v>43564</v>
      </c>
      <c r="C68" s="4" t="s">
        <v>20</v>
      </c>
      <c r="D68" s="5" t="s">
        <v>9</v>
      </c>
      <c r="E68" s="2">
        <v>167.5</v>
      </c>
      <c r="F68" s="2">
        <v>95.4</v>
      </c>
      <c r="G68" s="2">
        <v>230.9</v>
      </c>
      <c r="H68" s="2">
        <v>0.56999999999999995</v>
      </c>
    </row>
    <row r="69" spans="1:8" ht="18" customHeight="1" x14ac:dyDescent="0.25">
      <c r="A69" s="6">
        <v>68</v>
      </c>
      <c r="B69" s="7">
        <v>43599</v>
      </c>
      <c r="C69" s="8" t="s">
        <v>20</v>
      </c>
      <c r="D69" s="10" t="s">
        <v>21</v>
      </c>
      <c r="E69" s="6">
        <v>248.7</v>
      </c>
      <c r="F69" s="6">
        <v>93.6</v>
      </c>
      <c r="G69" s="6">
        <v>351.1</v>
      </c>
      <c r="H69" s="6">
        <v>0.376</v>
      </c>
    </row>
    <row r="70" spans="1:8" ht="18" customHeight="1" x14ac:dyDescent="0.25">
      <c r="A70" s="2">
        <v>69</v>
      </c>
      <c r="B70" s="3">
        <v>43630</v>
      </c>
      <c r="C70" s="4" t="s">
        <v>20</v>
      </c>
      <c r="D70" s="9" t="s">
        <v>11</v>
      </c>
      <c r="E70" s="2">
        <v>192.6</v>
      </c>
      <c r="F70" s="2">
        <v>125.2</v>
      </c>
      <c r="G70" s="2">
        <v>229.8</v>
      </c>
      <c r="H70" s="2">
        <v>0.65</v>
      </c>
    </row>
    <row r="71" spans="1:8" ht="18" customHeight="1" x14ac:dyDescent="0.25">
      <c r="A71" s="6">
        <v>70</v>
      </c>
      <c r="B71" s="7">
        <v>43640</v>
      </c>
      <c r="C71" s="8" t="s">
        <v>20</v>
      </c>
      <c r="D71" s="10" t="s">
        <v>21</v>
      </c>
      <c r="E71" s="6">
        <v>171.2</v>
      </c>
      <c r="F71" s="6">
        <v>21.3</v>
      </c>
      <c r="G71" s="6">
        <v>284.8</v>
      </c>
      <c r="H71" s="6">
        <v>0.125</v>
      </c>
    </row>
    <row r="72" spans="1:8" ht="18" customHeight="1" x14ac:dyDescent="0.25">
      <c r="A72" s="2">
        <v>71</v>
      </c>
      <c r="B72" s="3">
        <v>43668</v>
      </c>
      <c r="C72" s="4" t="s">
        <v>20</v>
      </c>
      <c r="D72" s="5" t="s">
        <v>9</v>
      </c>
      <c r="E72" s="2">
        <v>193</v>
      </c>
      <c r="F72" s="2">
        <v>104</v>
      </c>
      <c r="G72" s="2">
        <v>242.9</v>
      </c>
      <c r="H72" s="2">
        <v>0.53900000000000003</v>
      </c>
    </row>
    <row r="73" spans="1:8" ht="18" customHeight="1" x14ac:dyDescent="0.25">
      <c r="A73" s="6">
        <v>72</v>
      </c>
      <c r="B73" s="7">
        <v>43683</v>
      </c>
      <c r="C73" s="8" t="s">
        <v>25</v>
      </c>
      <c r="D73" s="9" t="s">
        <v>11</v>
      </c>
      <c r="E73" s="6">
        <v>270.89999999999998</v>
      </c>
      <c r="F73" s="6">
        <v>183.5</v>
      </c>
      <c r="G73" s="6">
        <v>306.10000000000002</v>
      </c>
      <c r="H73" s="6">
        <v>0.67700000000000005</v>
      </c>
    </row>
    <row r="74" spans="1:8" ht="18" customHeight="1" x14ac:dyDescent="0.25">
      <c r="A74" s="2">
        <v>73</v>
      </c>
      <c r="B74" s="3">
        <v>43704</v>
      </c>
      <c r="C74" s="4" t="s">
        <v>20</v>
      </c>
      <c r="D74" s="9" t="s">
        <v>11</v>
      </c>
      <c r="E74" s="2">
        <v>178.1</v>
      </c>
      <c r="F74" s="2">
        <v>111.6</v>
      </c>
      <c r="G74" s="2">
        <v>203.1</v>
      </c>
      <c r="H74" s="2">
        <v>0.627</v>
      </c>
    </row>
    <row r="75" spans="1:8" ht="18" customHeight="1" x14ac:dyDescent="0.25">
      <c r="A75" s="6">
        <v>74</v>
      </c>
      <c r="B75" s="7">
        <v>43725</v>
      </c>
      <c r="C75" s="8" t="s">
        <v>20</v>
      </c>
      <c r="D75" s="9" t="s">
        <v>11</v>
      </c>
      <c r="E75" s="6">
        <v>253.3</v>
      </c>
      <c r="F75" s="6">
        <v>200.1</v>
      </c>
      <c r="G75" s="6">
        <v>325.89999999999998</v>
      </c>
      <c r="H75" s="6">
        <v>0.79</v>
      </c>
    </row>
    <row r="76" spans="1:8" ht="18" customHeight="1" x14ac:dyDescent="0.25">
      <c r="A76" s="2">
        <v>75</v>
      </c>
      <c r="B76" s="3">
        <v>43749</v>
      </c>
      <c r="C76" s="4" t="s">
        <v>20</v>
      </c>
      <c r="D76" s="9" t="s">
        <v>11</v>
      </c>
      <c r="E76" s="2">
        <v>204.3</v>
      </c>
      <c r="F76" s="2">
        <v>277.39999999999998</v>
      </c>
      <c r="G76" s="2">
        <v>180.7</v>
      </c>
      <c r="H76" s="2">
        <v>1.3580000000000001</v>
      </c>
    </row>
    <row r="78" spans="1:8" x14ac:dyDescent="0.25">
      <c r="A78" s="11" t="s">
        <v>26</v>
      </c>
      <c r="B78" s="12" t="s">
        <v>27</v>
      </c>
      <c r="C78" s="13">
        <f>75</f>
        <v>75</v>
      </c>
    </row>
    <row r="79" spans="1:8" x14ac:dyDescent="0.25">
      <c r="A79" s="14"/>
      <c r="B79" s="12" t="s">
        <v>28</v>
      </c>
      <c r="C79" s="13">
        <f>COUNTIF(D2:D76,"Act")</f>
        <v>50</v>
      </c>
    </row>
    <row r="80" spans="1:8" x14ac:dyDescent="0.25">
      <c r="A80" s="14"/>
      <c r="B80" s="12" t="s">
        <v>29</v>
      </c>
      <c r="C80" s="13">
        <f>COUNTIF(D2:D76,"Threat")</f>
        <v>9</v>
      </c>
    </row>
    <row r="81" spans="1:3" x14ac:dyDescent="0.25">
      <c r="A81" s="14"/>
      <c r="B81" s="12" t="s">
        <v>9</v>
      </c>
      <c r="C81" s="13">
        <f>COUNTIF(D2:D76,"Mixed")</f>
        <v>16</v>
      </c>
    </row>
    <row r="82" spans="1:3" x14ac:dyDescent="0.25">
      <c r="A82" s="14"/>
      <c r="B82" s="12" t="s">
        <v>30</v>
      </c>
      <c r="C82" s="13">
        <f>AVERAGE(E2:E76)</f>
        <v>201.38666666666666</v>
      </c>
    </row>
    <row r="83" spans="1:3" x14ac:dyDescent="0.25">
      <c r="A83" s="14"/>
      <c r="B83" s="12" t="s">
        <v>31</v>
      </c>
      <c r="C83" s="13">
        <f>MAX(E2:E76)</f>
        <v>354.1</v>
      </c>
    </row>
    <row r="84" spans="1:3" x14ac:dyDescent="0.25">
      <c r="A84" s="14"/>
      <c r="B84" s="12" t="s">
        <v>32</v>
      </c>
      <c r="C84" s="13">
        <v>165.63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Geopolitical 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Danial Sanahurskyj</cp:lastModifiedBy>
  <cp:revision>0</cp:revision>
  <dcterms:created xsi:type="dcterms:W3CDTF">2026-06-11T19:26:39Z</dcterms:created>
  <dcterms:modified xsi:type="dcterms:W3CDTF">2026-06-11T19:29:04Z</dcterms:modified>
  <dc:language>en-US</dc:language>
</cp:coreProperties>
</file>